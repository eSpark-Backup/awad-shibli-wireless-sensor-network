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wadShibli-WirelessSensorNetwork\Design-Files\End-Device-v1.0\Deliverables\BOM\"/>
    </mc:Choice>
  </mc:AlternateContent>
  <bookViews>
    <workbookView xWindow="0" yWindow="0" windowWidth="198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<sst xmlns="http://schemas.openxmlformats.org/spreadsheetml/2006/main" count="515" uniqueCount="348">
  <si>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</si>
  <si>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</si>
  <si>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</si>
  <si>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</si>
  <si>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</si>
  <si>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</si>
  <si>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</si>
  <si>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</si>
  <si>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</si>
  <si>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</si>
  <si>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RF Antennas</t>
  </si>
  <si>
    <t>ANT1</t>
  </si>
  <si>
    <t>RF ANT 915MHZ CHIP SOLDER SMD</t>
  </si>
  <si>
    <t>Custom</t>
  </si>
  <si>
    <t>0915AT43A0026001E</t>
  </si>
  <si>
    <t>Johanson</t>
  </si>
  <si>
    <t>-</t>
  </si>
  <si>
    <t>Antenna</t>
  </si>
  <si>
    <t>ANT2</t>
  </si>
  <si>
    <t>1.8 Helical Antenna Vertical 915MHz 50W Antennas ROHS</t>
  </si>
  <si>
    <t>VG915SNX17-5W2</t>
  </si>
  <si>
    <t>Vollgo</t>
  </si>
  <si>
    <t>Capacitors</t>
  </si>
  <si>
    <t>C1, C3, C12</t>
  </si>
  <si>
    <t>CAP CER 10UF 25V X7R 0805</t>
  </si>
  <si>
    <t>Cap-0805</t>
  </si>
  <si>
    <t>GRM21BZ71E106KE15L</t>
  </si>
  <si>
    <t>Murata</t>
  </si>
  <si>
    <t>10uF</t>
  </si>
  <si>
    <t>C2, C4, C11, C17, C21, C22, C25, C28, C40, C41, C47, C48, C49, C50</t>
  </si>
  <si>
    <t>CAP CER 0.1UF 25V X7R 0402</t>
  </si>
  <si>
    <t>Cap-0402</t>
  </si>
  <si>
    <t>CC0402KRX7R8BB104</t>
  </si>
  <si>
    <t>Yageo</t>
  </si>
  <si>
    <t>0.1uF</t>
  </si>
  <si>
    <t>Capacitor</t>
  </si>
  <si>
    <t>C5, C10</t>
  </si>
  <si>
    <t>CAP CER 4700PF 1KV X7R 1206</t>
  </si>
  <si>
    <t>Cap-1206</t>
  </si>
  <si>
    <t>CC1206KKX7RCBB472</t>
  </si>
  <si>
    <t>4.7nF</t>
  </si>
  <si>
    <t>C6</t>
  </si>
  <si>
    <t>CAP CER 22UF 10V X7R 0805</t>
  </si>
  <si>
    <t>GRM21BZ71A226ME15L</t>
  </si>
  <si>
    <t>22uF</t>
  </si>
  <si>
    <t>C7, C8, C9</t>
  </si>
  <si>
    <t>CAP CER 10UF 10V X7R 0603</t>
  </si>
  <si>
    <t>Cap-0603</t>
  </si>
  <si>
    <t>GRM188Z71A106KA73D</t>
  </si>
  <si>
    <t>C16, C24, C27</t>
  </si>
  <si>
    <t>CAP CER 4.7UF 16V X5R 0402</t>
  </si>
  <si>
    <t>CL05A475MO5NUNC</t>
  </si>
  <si>
    <t>Samsung</t>
  </si>
  <si>
    <t>4.7uF</t>
  </si>
  <si>
    <t>C18, C23, C33, C34</t>
  </si>
  <si>
    <t>CAP CER 33PF 50V C0G/NP0 0402</t>
  </si>
  <si>
    <t>GJM1555C1H330GB01D</t>
  </si>
  <si>
    <t>33pF</t>
  </si>
  <si>
    <t>C19, C20</t>
  </si>
  <si>
    <t>CAP CER 6.8PF 50V C0G/NPO 0402</t>
  </si>
  <si>
    <t>CC0402CRNPO9BN6R8</t>
  </si>
  <si>
    <t>6.8pF</t>
  </si>
  <si>
    <t>C29</t>
  </si>
  <si>
    <t>CAP CER 0.47UF 50V X5R 0402</t>
  </si>
  <si>
    <t>GRM155R61H474KE11D</t>
  </si>
  <si>
    <t>470nF</t>
  </si>
  <si>
    <t>C30</t>
  </si>
  <si>
    <t>CAP CER 0.047UF 50V X7R 0402</t>
  </si>
  <si>
    <t>CC0402KRX7R9BB473</t>
  </si>
  <si>
    <t>47nF</t>
  </si>
  <si>
    <t>C31</t>
  </si>
  <si>
    <t>CAP CER 68PF 50V C0G/NPO 0402</t>
  </si>
  <si>
    <t>CC0402FRNPO9BN680</t>
  </si>
  <si>
    <t>68pF</t>
  </si>
  <si>
    <t>C32, C38</t>
  </si>
  <si>
    <t>CAP CER 2.2PF 50V C0G/NP0 0402</t>
  </si>
  <si>
    <t>GRM1555C1H2R2BA01D</t>
  </si>
  <si>
    <t>2.2pF</t>
  </si>
  <si>
    <t>C35</t>
  </si>
  <si>
    <t>CAP CER 10000PF 50V X7R 0402</t>
  </si>
  <si>
    <t>GRM155R71H103KA88D</t>
  </si>
  <si>
    <t>10nF</t>
  </si>
  <si>
    <t>C36</t>
  </si>
  <si>
    <t>CAP CER 0.7PF 50V C0G/NP0 0402</t>
  </si>
  <si>
    <t>IND-0402</t>
  </si>
  <si>
    <t>GJM1555C1HR70BB01D</t>
  </si>
  <si>
    <t>0.7pF</t>
  </si>
  <si>
    <t>C37</t>
  </si>
  <si>
    <t>CAP CER 7.5PF 50V C0G/NP0 0402</t>
  </si>
  <si>
    <t>GJM1555C1H7R5BB01D</t>
  </si>
  <si>
    <t>7.5pF</t>
  </si>
  <si>
    <t>C39</t>
  </si>
  <si>
    <t>CAP CER 4PF 50V C0G/NP0 0402</t>
  </si>
  <si>
    <t>GJM1555C1H4R0BB01D</t>
  </si>
  <si>
    <t>4pF</t>
  </si>
  <si>
    <t>C42</t>
  </si>
  <si>
    <t>CAP CER 47PF 50V C0G/NP0 0402</t>
  </si>
  <si>
    <t>GCM1555C1H470FA16D</t>
  </si>
  <si>
    <t>47pF</t>
  </si>
  <si>
    <t>C43</t>
  </si>
  <si>
    <t>CAP CER 10PF 50V C0G/NP0 0402</t>
  </si>
  <si>
    <t>GRM1555C1H100JA01D</t>
  </si>
  <si>
    <t>10pF</t>
  </si>
  <si>
    <t>C46</t>
  </si>
  <si>
    <t>CAP CER 4.3PF 50V C0G/NP0 0402</t>
  </si>
  <si>
    <t>GJM1555C1H4R3BB01D</t>
  </si>
  <si>
    <t>4.3pF</t>
  </si>
  <si>
    <t>TVS Diodes</t>
  </si>
  <si>
    <t>D1</t>
  </si>
  <si>
    <t>9.5V 400W 7.5V 5V WSON-6(2x2) ESD and Surge Protection (TVS/ESD) ROHS</t>
  </si>
  <si>
    <t>WSON-6(2x2)</t>
  </si>
  <si>
    <t>TVS0500DRVR</t>
  </si>
  <si>
    <t>Texas Instruments</t>
  </si>
  <si>
    <t>Diode</t>
  </si>
  <si>
    <t>D2</t>
  </si>
  <si>
    <t>Independent 5W 18V SMB Zener Diodes ROHS</t>
  </si>
  <si>
    <t>SMB_</t>
  </si>
  <si>
    <t>SMBJ5355B-MS</t>
  </si>
  <si>
    <t>MSKSEMI</t>
  </si>
  <si>
    <t>ESD Diode</t>
  </si>
  <si>
    <t>D3</t>
  </si>
  <si>
    <t>1 Surface Mount WSON-6(2x2) Surge Protection Devices (SPDs) ROHS</t>
  </si>
  <si>
    <t>TVS1800DRVR</t>
  </si>
  <si>
    <t>D4, D5, D6</t>
  </si>
  <si>
    <t>40V 500mV@2A 2A SMA(DO-214AC) Schottky Barrier Diodes (SBD) ROHS</t>
  </si>
  <si>
    <t>SMA</t>
  </si>
  <si>
    <t>SS24A</t>
  </si>
  <si>
    <t>Guangdong Hottech</t>
  </si>
  <si>
    <t>D7</t>
  </si>
  <si>
    <t>TVS DIODE 3VWM ST0201</t>
  </si>
  <si>
    <t>Diode-0201</t>
  </si>
  <si>
    <t>ESDALC6V1-1U2</t>
  </si>
  <si>
    <t>STMicroelectronics</t>
  </si>
  <si>
    <t>Fuse</t>
  </si>
  <si>
    <t>F1</t>
  </si>
  <si>
    <t>24V 750mA 100A 1.5A 1210 Resettable Fuses ROHS</t>
  </si>
  <si>
    <t>FUSE-1210</t>
  </si>
  <si>
    <t>1210L075/24PR</t>
  </si>
  <si>
    <t>Littlefuse</t>
  </si>
  <si>
    <t>Ferrite Bead</t>
  </si>
  <si>
    <t>FB1</t>
  </si>
  <si>
    <t>500mΩ ±25% 600Ω@100MHz 0603 Ferrite Beads ROHS</t>
  </si>
  <si>
    <t>IND-0603 (1608 Metric)</t>
  </si>
  <si>
    <t>FCM1608KF-601T03</t>
  </si>
  <si>
    <t>Tai Tech</t>
  </si>
  <si>
    <t>Ferrite Beads</t>
  </si>
  <si>
    <t>FB2</t>
  </si>
  <si>
    <t>FERRITE BEAD 1 KOHM 0402 1LN</t>
  </si>
  <si>
    <t>BLM15HG102SN1D</t>
  </si>
  <si>
    <t>Connector</t>
  </si>
  <si>
    <t>J1</t>
  </si>
  <si>
    <t>Receptacle USB - Type C 6 - USB Connectors ROHS</t>
  </si>
  <si>
    <t>Type-C-31-M-17</t>
  </si>
  <si>
    <t>Koren Hroparts Elec</t>
  </si>
  <si>
    <t>Connectors</t>
  </si>
  <si>
    <t>J2</t>
  </si>
  <si>
    <t>CONN HEADER SMD R/A 2POS 2MM</t>
  </si>
  <si>
    <t>S2B-PH-SM4-TB(LF)(SN)</t>
  </si>
  <si>
    <t>JST</t>
  </si>
  <si>
    <t>Terminal Block</t>
  </si>
  <si>
    <t>J3</t>
  </si>
  <si>
    <t>1x2P 18A -40℃~+105℃ 250V Green 12~30 Straight 5.08mm 2.5 1 2 Plugin,P=5.08mm Screw terminal ROHS</t>
  </si>
  <si>
    <t>DB128L-5.08-2P-GN-S</t>
  </si>
  <si>
    <t>DORABO</t>
  </si>
  <si>
    <t>DC Jack</t>
  </si>
  <si>
    <t>J4</t>
  </si>
  <si>
    <t>Surface Mount DC Power Receptacle -20℃~+70℃ 2mm 6.4mm 2A 30V SMD AC/DC Power Connectors ROHS</t>
  </si>
  <si>
    <t>DC-050-B200</t>
  </si>
  <si>
    <t>XUNPU</t>
  </si>
  <si>
    <t>Male Header</t>
  </si>
  <si>
    <t>J5</t>
  </si>
  <si>
    <t>Gold 250V 3A Straight Square Pins 2.5mm 3P 260℃ 6mm -40℃~+105℃ 3mm 2.54mm Plugin Black Brass 1x3P Plugin,P=2.54mm Pin Headers ROHS</t>
  </si>
  <si>
    <t>HDR1X3_</t>
  </si>
  <si>
    <t>X6511WV-03H-C60D30</t>
  </si>
  <si>
    <t>XKB</t>
  </si>
  <si>
    <t>J7</t>
  </si>
  <si>
    <t>Gold 250V 1A Brick nogging Square Pins 1mm 10P 260℃ 4mm -40℃~+105℃ 1.27mm 双排 Black Brass 2x5P SMD,P=1.27mm Pin Headers ROHS</t>
  </si>
  <si>
    <t>X1321WVS-2x05J-C40D53</t>
  </si>
  <si>
    <t>XKB Connectivity</t>
  </si>
  <si>
    <t>Inductor</t>
  </si>
  <si>
    <t>L1</t>
  </si>
  <si>
    <t>FIXED IND 1UH 3.2A 0.042OHM SMD</t>
  </si>
  <si>
    <t>IND-1008 (2520 Metric)</t>
  </si>
  <si>
    <t>DFE252012P-1R0M=P2</t>
  </si>
  <si>
    <t>1uH</t>
  </si>
  <si>
    <t>Fixed Inductors</t>
  </si>
  <si>
    <t>L2</t>
  </si>
  <si>
    <t>FIXED IND 15UH 250MA 950MOHM SMD</t>
  </si>
  <si>
    <t>IND-0805</t>
  </si>
  <si>
    <t>MLZ2012M150WT000</t>
  </si>
  <si>
    <t>TDK</t>
  </si>
  <si>
    <t>15uH</t>
  </si>
  <si>
    <t>L3</t>
  </si>
  <si>
    <t>FIXED IND 47NH 210MA 1.08OHM SMD</t>
  </si>
  <si>
    <t>LQW15AN47NG00D</t>
  </si>
  <si>
    <t>47nH</t>
  </si>
  <si>
    <t>L4</t>
  </si>
  <si>
    <t>FIXED IND 3.3NH 900MA 0.04OHM SM</t>
  </si>
  <si>
    <t>LQW15AN3N3D10D</t>
  </si>
  <si>
    <t>3.3nH</t>
  </si>
  <si>
    <t>L5</t>
  </si>
  <si>
    <t>FIXED IND 8.2NH 540MA 0.14OHM SM</t>
  </si>
  <si>
    <t>LQW15AN8N2G00D</t>
  </si>
  <si>
    <t>8.2nH</t>
  </si>
  <si>
    <t>L6</t>
  </si>
  <si>
    <t>FIXED IND 9.1NH 1.4A 0.08OHM SMD</t>
  </si>
  <si>
    <t>LQW15AN9N1G8ZD</t>
  </si>
  <si>
    <t>9.1nH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</si>
  <si>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</si>
  <si>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</si>
  <si>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</si>
  <si>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</si>
  <si>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</si>
  <si>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</si>
  <si>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LED2</t>
  </si>
  <si>
    <t>Emerald 0603 Light Emitting Diodes (LED) ROHS</t>
  </si>
  <si>
    <t>NCD0603G2</t>
  </si>
  <si>
    <t>NTC Thermistors</t>
  </si>
  <si>
    <t>NTC1</t>
  </si>
  <si>
    <t>10kΩ 50mW ±1% NTC Thermistors ROHS</t>
  </si>
  <si>
    <t>MF51B 103F3435</t>
  </si>
  <si>
    <t>Nanjing Shiheng Elec</t>
  </si>
  <si>
    <t>10K</t>
  </si>
  <si>
    <t>MOSFET</t>
  </si>
  <si>
    <t>Q1</t>
  </si>
  <si>
    <t>MOSFET P-CH 30V 4.3A SOT23-3</t>
  </si>
  <si>
    <t>SOT-23</t>
  </si>
  <si>
    <t>AOSS21311C</t>
  </si>
  <si>
    <t>Alpha &amp; Omega Semiconductor</t>
  </si>
  <si>
    <t>Mosfet</t>
  </si>
  <si>
    <t>Q2</t>
  </si>
  <si>
    <t>Trans Mosfet P-ch 30V 4A 3-PIN SOT-23 T/r</t>
  </si>
  <si>
    <t>AO3401A</t>
  </si>
  <si>
    <t>Resistor</t>
  </si>
  <si>
    <t>R1, R3</t>
  </si>
  <si>
    <t>RES 5.1K OHM 1% 1/16W 0402</t>
  </si>
  <si>
    <t>Res-0402</t>
  </si>
  <si>
    <t>RC0402FR-075K1L</t>
  </si>
  <si>
    <t>5.1K</t>
  </si>
  <si>
    <t>Resistors</t>
  </si>
  <si>
    <t>R2, R4, R36</t>
  </si>
  <si>
    <t>RES 220 OHM 1% 1/16W 0402</t>
  </si>
  <si>
    <t>RC0402FR-07220RL</t>
  </si>
  <si>
    <t>220R</t>
  </si>
  <si>
    <t>R5</t>
  </si>
  <si>
    <t>RES SMD 21.5KOHM 0.1% 1/16W 0402</t>
  </si>
  <si>
    <t>RT0402BRD0721K5L</t>
  </si>
  <si>
    <t>21.5K</t>
  </si>
  <si>
    <t>R6, R9</t>
  </si>
  <si>
    <t>RES SMD 1M OHM 1% 1/10W 0603</t>
  </si>
  <si>
    <t>Res-0603</t>
  </si>
  <si>
    <t>RC0603FR-071ML</t>
  </si>
  <si>
    <t>1M</t>
  </si>
  <si>
    <t>R7</t>
  </si>
  <si>
    <t>RES SMD 6.98KOHM 0.1% 1/16W 0402</t>
  </si>
  <si>
    <t>RT0402BRD076K98L</t>
  </si>
  <si>
    <t>6.98K</t>
  </si>
  <si>
    <t>R8</t>
  </si>
  <si>
    <t>RES SMD 649 OHM 0.1% 1/16W 0402</t>
  </si>
  <si>
    <t>RT0402BRD07649RL</t>
  </si>
  <si>
    <t>649R</t>
  </si>
  <si>
    <t>R10, R44</t>
  </si>
  <si>
    <t>RES SMD 10 OHM 1% 1/10W 0603</t>
  </si>
  <si>
    <t>RC0603FR-0710RL</t>
  </si>
  <si>
    <t>10R</t>
  </si>
  <si>
    <t>R11</t>
  </si>
  <si>
    <t>RES 47K OHM 1% 1/16W 0402</t>
  </si>
  <si>
    <t>RC0402FR-0747KL</t>
  </si>
  <si>
    <t>47K</t>
  </si>
  <si>
    <t>R16, R17, R24, R29, R34, R35, R38, R39</t>
  </si>
  <si>
    <t>RES 0 OHM JUMPER 1/16W 0402</t>
  </si>
  <si>
    <t>RC0402FR-070RL</t>
  </si>
  <si>
    <t>0R</t>
  </si>
  <si>
    <t>R25</t>
  </si>
  <si>
    <t>RES 10K OHM 1% 1/16W 0402</t>
  </si>
  <si>
    <t>RC0402FR-0710KL</t>
  </si>
  <si>
    <t>R27, R28</t>
  </si>
  <si>
    <t>RES 0 OHM JUMPER 1/8W 0805</t>
  </si>
  <si>
    <t>Res-0805</t>
  </si>
  <si>
    <t>RC0805FR-070RL</t>
  </si>
  <si>
    <t>R31</t>
  </si>
  <si>
    <t>RES 1K OHM 1% 1/20W 0201</t>
  </si>
  <si>
    <t>Res-0201</t>
  </si>
  <si>
    <t>RC0201FR-071KP</t>
  </si>
  <si>
    <t>1K</t>
  </si>
  <si>
    <t>R32, R33, R41, R42</t>
  </si>
  <si>
    <t>RES 4.7K OHM 1% 1/16W 0402</t>
  </si>
  <si>
    <t>RC0402FR-074K7L</t>
  </si>
  <si>
    <t>4.7K</t>
  </si>
  <si>
    <t>R40, R43</t>
  </si>
  <si>
    <t>RES 1K OHM 1% 1/16W 0402</t>
  </si>
  <si>
    <t>RC0402FR-071KL</t>
  </si>
  <si>
    <t>Slide Switch</t>
  </si>
  <si>
    <t>SW1</t>
  </si>
  <si>
    <t>Lying 1A SPDT 9.6mm 8.6mm 24V 3.6mm Black PCPin 10000 Rectangular columnar -25℃~+70℃ Plugin Slide Switches ROHS</t>
  </si>
  <si>
    <t>SK-12D29-G060</t>
  </si>
  <si>
    <t>G-Switch</t>
  </si>
  <si>
    <t>Switch</t>
  </si>
  <si>
    <t>SW4</t>
  </si>
  <si>
    <t>SWITCH TACTILE SPST-NO 0.05A 12V</t>
  </si>
  <si>
    <t>B3U-1000P</t>
  </si>
  <si>
    <t>Omron</t>
  </si>
  <si>
    <t>IC</t>
  </si>
  <si>
    <t>U1</t>
  </si>
  <si>
    <t>IC BATT CHG LI-ION 1CELL 10WSON</t>
  </si>
  <si>
    <t>10-WSON (3x2)</t>
  </si>
  <si>
    <t>BQ24210DQCR</t>
  </si>
  <si>
    <t>U2</t>
  </si>
  <si>
    <t>IC REG BUCK BST 3.3V 3.5A 14VSON</t>
  </si>
  <si>
    <t>14-VSON (4x3)</t>
  </si>
  <si>
    <t>TPS63021DSJR</t>
  </si>
  <si>
    <t>U3</t>
  </si>
  <si>
    <t>IC RF TXRX+MCU ISM&lt;1GHZ 48UFQFPN</t>
  </si>
  <si>
    <t>48-UFQFPN(7x7)</t>
  </si>
  <si>
    <t>STM32WLE5CBU6</t>
  </si>
  <si>
    <t>U5</t>
  </si>
  <si>
    <t>SENSOR OPT 560NM AMBIENT 6WSOF</t>
  </si>
  <si>
    <t>6-WSOF</t>
  </si>
  <si>
    <t>BH1750FVI-TR</t>
  </si>
  <si>
    <t>Rohm</t>
  </si>
  <si>
    <t>Sensor</t>
  </si>
  <si>
    <t>U6</t>
  </si>
  <si>
    <t>SIP-4 Temperature and Humidity Sensor ROHS</t>
  </si>
  <si>
    <t>AM2302</t>
  </si>
  <si>
    <t>Aosong (Guangzhou) Elec</t>
  </si>
  <si>
    <t>U7</t>
  </si>
  <si>
    <t>SIP-4 Gas Sensors ROHS</t>
  </si>
  <si>
    <t>AGS02MA</t>
  </si>
  <si>
    <t>Crystal</t>
  </si>
  <si>
    <t>X1</t>
  </si>
  <si>
    <t>CRYSTAL 32.7680KHZ 6PF SMD</t>
  </si>
  <si>
    <t>NX3215SA-32.768K-STD-MUA-14</t>
  </si>
  <si>
    <t>NDK</t>
  </si>
  <si>
    <t>32.7680KHZ</t>
  </si>
  <si>
    <t>Oscillators</t>
  </si>
  <si>
    <t>X2</t>
  </si>
  <si>
    <t>XTAL OSC TCXO 32.0000MHZ CLPSNW</t>
  </si>
  <si>
    <t>SMD2520-4P</t>
  </si>
  <si>
    <t>ECS-TXO-25CSMV-320-DY-TR</t>
  </si>
  <si>
    <t>ECS International</t>
  </si>
  <si>
    <t>32MHz</t>
  </si>
  <si>
    <t>X3</t>
  </si>
  <si>
    <t>CRYSTAL 32.0000MHZ 8PF SMD</t>
  </si>
  <si>
    <t>ECS-320-8-36B-CKY-TR</t>
  </si>
  <si>
    <t>Peripheral</t>
  </si>
  <si>
    <t>Battery</t>
  </si>
  <si>
    <t>Aliexpress</t>
  </si>
  <si>
    <t>804050 2000mAh Battery 3.7V Li-Polymer Lithium Ion Batteries for Massager Medical Equipment Car Air Filter Loudspeaker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</si>
</sst>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.aliexpress.com/item/100500919636464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4"/>
  <sheetViews>
    <sheetView tabSelected="1" topLeftCell="A67" workbookViewId="0">
      <selection activeCell="B74" sqref="B74:K74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17.85546875" customWidth="1"/>
    <col min="7" max="7" width="27.28515625" customWidth="1"/>
    <col min="8" max="8" width="21.42578125" customWidth="1"/>
    <col min="9" max="9" width="9.140625" customWidth="1"/>
    <col min="10" max="10" width="9.28515625" customWidth="1"/>
    <col min="11" max="11" width="9.1406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5"/>
      <c r="J1" s="15"/>
      <c r="K1" s="15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 ht="24">
      <c r="A4" s="2"/>
      <c r="B4" s="7">
        <f t="shared" si="0"/>
        <v>2</v>
      </c>
      <c r="C4" s="11" t="s">
        <v>17</v>
      </c>
      <c r="D4" s="12" t="s">
        <v>18</v>
      </c>
      <c r="E4" s="13" t="s">
        <v>19</v>
      </c>
      <c r="F4" s="9" t="s">
        <v>13</v>
      </c>
      <c r="G4" s="13" t="s">
        <v>20</v>
      </c>
      <c r="H4" s="12" t="s">
        <v>21</v>
      </c>
      <c r="I4" s="10" t="s">
        <v>16</v>
      </c>
      <c r="J4" s="12">
        <v>1</v>
      </c>
      <c r="K4" s="12"/>
    </row>
    <row r="5" spans="1:11">
      <c r="A5" s="2"/>
      <c r="B5" s="7">
        <f t="shared" si="0"/>
        <v>3</v>
      </c>
      <c r="C5" s="8" t="s">
        <v>22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3</v>
      </c>
      <c r="K5" s="9"/>
    </row>
    <row r="6" spans="1:11" ht="24">
      <c r="A6" s="2"/>
      <c r="B6" s="7">
        <f t="shared" si="0"/>
        <v>4</v>
      </c>
      <c r="C6" s="8" t="s">
        <v>22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34</v>
      </c>
      <c r="J6" s="12">
        <v>14</v>
      </c>
      <c r="K6" s="12"/>
    </row>
    <row r="7" spans="1:11">
      <c r="A7" s="2"/>
      <c r="B7" s="7">
        <f t="shared" si="0"/>
        <v>5</v>
      </c>
      <c r="C7" s="8" t="s">
        <v>35</v>
      </c>
      <c r="D7" s="9" t="s">
        <v>36</v>
      </c>
      <c r="E7" s="10" t="s">
        <v>37</v>
      </c>
      <c r="F7" s="9" t="s">
        <v>38</v>
      </c>
      <c r="G7" s="10" t="s">
        <v>39</v>
      </c>
      <c r="H7" s="9" t="s">
        <v>33</v>
      </c>
      <c r="I7" s="10" t="s">
        <v>40</v>
      </c>
      <c r="J7" s="9">
        <v>2</v>
      </c>
      <c r="K7" s="9"/>
    </row>
    <row r="8" spans="1:11">
      <c r="A8" s="2"/>
      <c r="B8" s="7">
        <f t="shared" si="0"/>
        <v>6</v>
      </c>
      <c r="C8" s="11" t="s">
        <v>35</v>
      </c>
      <c r="D8" s="12" t="s">
        <v>41</v>
      </c>
      <c r="E8" s="13" t="s">
        <v>42</v>
      </c>
      <c r="F8" s="12" t="s">
        <v>25</v>
      </c>
      <c r="G8" s="13" t="s">
        <v>43</v>
      </c>
      <c r="H8" s="12" t="s">
        <v>27</v>
      </c>
      <c r="I8" s="13" t="s">
        <v>44</v>
      </c>
      <c r="J8" s="12">
        <v>1</v>
      </c>
      <c r="K8" s="12"/>
    </row>
    <row r="9" spans="1:11">
      <c r="A9" s="2"/>
      <c r="B9" s="7">
        <f t="shared" si="0"/>
        <v>7</v>
      </c>
      <c r="C9" s="8" t="s">
        <v>35</v>
      </c>
      <c r="D9" s="9" t="s">
        <v>45</v>
      </c>
      <c r="E9" s="10" t="s">
        <v>46</v>
      </c>
      <c r="F9" s="9" t="s">
        <v>47</v>
      </c>
      <c r="G9" s="10" t="s">
        <v>48</v>
      </c>
      <c r="H9" s="9" t="s">
        <v>27</v>
      </c>
      <c r="I9" s="10" t="s">
        <v>28</v>
      </c>
      <c r="J9" s="9">
        <v>3</v>
      </c>
      <c r="K9" s="9"/>
    </row>
    <row r="10" spans="1:11">
      <c r="A10" s="2"/>
      <c r="B10" s="7">
        <f t="shared" si="0"/>
        <v>8</v>
      </c>
      <c r="C10" s="8" t="s">
        <v>35</v>
      </c>
      <c r="D10" s="12" t="s">
        <v>49</v>
      </c>
      <c r="E10" s="13" t="s">
        <v>50</v>
      </c>
      <c r="F10" s="12" t="s">
        <v>31</v>
      </c>
      <c r="G10" s="13" t="s">
        <v>51</v>
      </c>
      <c r="H10" s="12" t="s">
        <v>52</v>
      </c>
      <c r="I10" s="13" t="s">
        <v>53</v>
      </c>
      <c r="J10" s="12">
        <v>3</v>
      </c>
      <c r="K10" s="12"/>
    </row>
    <row r="11" spans="1:11">
      <c r="A11" s="2"/>
      <c r="B11" s="7">
        <f t="shared" si="0"/>
        <v>9</v>
      </c>
      <c r="C11" s="8" t="s">
        <v>22</v>
      </c>
      <c r="D11" s="9" t="s">
        <v>54</v>
      </c>
      <c r="E11" s="10" t="s">
        <v>55</v>
      </c>
      <c r="F11" s="9" t="s">
        <v>31</v>
      </c>
      <c r="G11" s="10" t="s">
        <v>56</v>
      </c>
      <c r="H11" s="9" t="s">
        <v>27</v>
      </c>
      <c r="I11" s="10" t="s">
        <v>57</v>
      </c>
      <c r="J11" s="9">
        <v>4</v>
      </c>
      <c r="K11" s="9"/>
    </row>
    <row r="12" spans="1:11">
      <c r="A12" s="2"/>
      <c r="B12" s="7">
        <f t="shared" si="0"/>
        <v>10</v>
      </c>
      <c r="C12" s="11" t="s">
        <v>35</v>
      </c>
      <c r="D12" s="12" t="s">
        <v>58</v>
      </c>
      <c r="E12" s="13" t="s">
        <v>59</v>
      </c>
      <c r="F12" s="12" t="s">
        <v>31</v>
      </c>
      <c r="G12" s="13" t="s">
        <v>60</v>
      </c>
      <c r="H12" s="12" t="s">
        <v>33</v>
      </c>
      <c r="I12" s="13" t="s">
        <v>61</v>
      </c>
      <c r="J12" s="12">
        <v>2</v>
      </c>
      <c r="K12" s="12"/>
    </row>
    <row r="13" spans="1:11">
      <c r="A13" s="2"/>
      <c r="B13" s="7">
        <f t="shared" si="0"/>
        <v>11</v>
      </c>
      <c r="C13" s="8" t="s">
        <v>22</v>
      </c>
      <c r="D13" s="9" t="s">
        <v>62</v>
      </c>
      <c r="E13" s="10" t="s">
        <v>63</v>
      </c>
      <c r="F13" s="9" t="s">
        <v>31</v>
      </c>
      <c r="G13" s="10" t="s">
        <v>64</v>
      </c>
      <c r="H13" s="9" t="s">
        <v>27</v>
      </c>
      <c r="I13" s="10" t="s">
        <v>65</v>
      </c>
      <c r="J13" s="9">
        <v>1</v>
      </c>
      <c r="K13" s="9"/>
    </row>
    <row r="14" spans="1:11">
      <c r="A14" s="2"/>
      <c r="B14" s="7">
        <f t="shared" si="0"/>
        <v>12</v>
      </c>
      <c r="C14" s="11" t="s">
        <v>35</v>
      </c>
      <c r="D14" s="12" t="s">
        <v>66</v>
      </c>
      <c r="E14" s="13" t="s">
        <v>67</v>
      </c>
      <c r="F14" s="12" t="s">
        <v>31</v>
      </c>
      <c r="G14" s="13" t="s">
        <v>68</v>
      </c>
      <c r="H14" s="12" t="s">
        <v>33</v>
      </c>
      <c r="I14" s="13" t="s">
        <v>69</v>
      </c>
      <c r="J14" s="12">
        <v>1</v>
      </c>
      <c r="K14" s="12"/>
    </row>
    <row r="15" spans="1:11">
      <c r="A15" s="2"/>
      <c r="B15" s="7">
        <f t="shared" si="0"/>
        <v>13</v>
      </c>
      <c r="C15" s="8" t="s">
        <v>22</v>
      </c>
      <c r="D15" s="9" t="s">
        <v>70</v>
      </c>
      <c r="E15" s="10" t="s">
        <v>71</v>
      </c>
      <c r="F15" s="9" t="s">
        <v>31</v>
      </c>
      <c r="G15" s="10" t="s">
        <v>72</v>
      </c>
      <c r="H15" s="9" t="s">
        <v>33</v>
      </c>
      <c r="I15" s="10" t="s">
        <v>73</v>
      </c>
      <c r="J15" s="9">
        <v>1</v>
      </c>
      <c r="K15" s="9"/>
    </row>
    <row r="16" spans="1:11">
      <c r="A16" s="2"/>
      <c r="B16" s="7">
        <f t="shared" si="0"/>
        <v>14</v>
      </c>
      <c r="C16" s="11" t="s">
        <v>35</v>
      </c>
      <c r="D16" s="12" t="s">
        <v>74</v>
      </c>
      <c r="E16" s="13" t="s">
        <v>75</v>
      </c>
      <c r="F16" s="12" t="s">
        <v>31</v>
      </c>
      <c r="G16" s="13" t="s">
        <v>76</v>
      </c>
      <c r="H16" s="12" t="s">
        <v>27</v>
      </c>
      <c r="I16" s="13" t="s">
        <v>77</v>
      </c>
      <c r="J16" s="12">
        <v>2</v>
      </c>
      <c r="K16" s="12"/>
    </row>
    <row r="17" spans="1:11">
      <c r="A17" s="2"/>
      <c r="B17" s="7">
        <f t="shared" si="0"/>
        <v>15</v>
      </c>
      <c r="C17" s="8" t="s">
        <v>22</v>
      </c>
      <c r="D17" s="9" t="s">
        <v>78</v>
      </c>
      <c r="E17" s="10" t="s">
        <v>79</v>
      </c>
      <c r="F17" s="9" t="s">
        <v>31</v>
      </c>
      <c r="G17" s="10" t="s">
        <v>80</v>
      </c>
      <c r="H17" s="9" t="s">
        <v>27</v>
      </c>
      <c r="I17" s="10" t="s">
        <v>81</v>
      </c>
      <c r="J17" s="9">
        <v>1</v>
      </c>
      <c r="K17" s="9"/>
    </row>
    <row r="18" spans="1:11">
      <c r="A18" s="2"/>
      <c r="B18" s="7">
        <f t="shared" si="0"/>
        <v>16</v>
      </c>
      <c r="C18" s="11" t="s">
        <v>22</v>
      </c>
      <c r="D18" s="12" t="s">
        <v>82</v>
      </c>
      <c r="E18" s="13" t="s">
        <v>83</v>
      </c>
      <c r="F18" s="12" t="s">
        <v>84</v>
      </c>
      <c r="G18" s="13" t="s">
        <v>85</v>
      </c>
      <c r="H18" s="12" t="s">
        <v>27</v>
      </c>
      <c r="I18" s="13" t="s">
        <v>86</v>
      </c>
      <c r="J18" s="12">
        <v>1</v>
      </c>
      <c r="K18" s="12"/>
    </row>
    <row r="19" spans="1:11">
      <c r="A19" s="2"/>
      <c r="B19" s="7">
        <f t="shared" si="0"/>
        <v>17</v>
      </c>
      <c r="C19" s="8" t="s">
        <v>22</v>
      </c>
      <c r="D19" s="9" t="s">
        <v>87</v>
      </c>
      <c r="E19" s="10" t="s">
        <v>88</v>
      </c>
      <c r="F19" s="9" t="s">
        <v>31</v>
      </c>
      <c r="G19" s="10" t="s">
        <v>89</v>
      </c>
      <c r="H19" s="9" t="s">
        <v>27</v>
      </c>
      <c r="I19" s="10" t="s">
        <v>90</v>
      </c>
      <c r="J19" s="9">
        <v>1</v>
      </c>
      <c r="K19" s="9"/>
    </row>
    <row r="20" spans="1:11">
      <c r="A20" s="2"/>
      <c r="B20" s="7">
        <f t="shared" si="0"/>
        <v>18</v>
      </c>
      <c r="C20" s="11" t="s">
        <v>22</v>
      </c>
      <c r="D20" s="12" t="s">
        <v>91</v>
      </c>
      <c r="E20" s="13" t="s">
        <v>92</v>
      </c>
      <c r="F20" s="12" t="s">
        <v>31</v>
      </c>
      <c r="G20" s="13" t="s">
        <v>93</v>
      </c>
      <c r="H20" s="12" t="s">
        <v>27</v>
      </c>
      <c r="I20" s="13" t="s">
        <v>94</v>
      </c>
      <c r="J20" s="12">
        <v>1</v>
      </c>
      <c r="K20" s="12"/>
    </row>
    <row r="21" spans="1:11">
      <c r="A21" s="2"/>
      <c r="B21" s="7">
        <f t="shared" si="0"/>
        <v>19</v>
      </c>
      <c r="C21" s="11" t="s">
        <v>22</v>
      </c>
      <c r="D21" s="9" t="s">
        <v>95</v>
      </c>
      <c r="E21" s="10" t="s">
        <v>96</v>
      </c>
      <c r="F21" s="9" t="s">
        <v>31</v>
      </c>
      <c r="G21" s="10" t="s">
        <v>97</v>
      </c>
      <c r="H21" s="9" t="s">
        <v>27</v>
      </c>
      <c r="I21" s="10" t="s">
        <v>98</v>
      </c>
      <c r="J21" s="9">
        <v>1</v>
      </c>
      <c r="K21" s="9"/>
    </row>
    <row r="22" spans="1:11">
      <c r="A22" s="2"/>
      <c r="B22" s="7">
        <f t="shared" si="0"/>
        <v>20</v>
      </c>
      <c r="C22" s="11" t="s">
        <v>35</v>
      </c>
      <c r="D22" s="12" t="s">
        <v>99</v>
      </c>
      <c r="E22" s="13" t="s">
        <v>100</v>
      </c>
      <c r="F22" s="12" t="s">
        <v>31</v>
      </c>
      <c r="G22" s="13" t="s">
        <v>101</v>
      </c>
      <c r="H22" s="12" t="s">
        <v>27</v>
      </c>
      <c r="I22" s="13" t="s">
        <v>102</v>
      </c>
      <c r="J22" s="12">
        <v>1</v>
      </c>
      <c r="K22" s="12"/>
    </row>
    <row r="23" spans="1:11">
      <c r="A23" s="2"/>
      <c r="B23" s="7">
        <f t="shared" si="0"/>
        <v>21</v>
      </c>
      <c r="C23" s="8" t="s">
        <v>22</v>
      </c>
      <c r="D23" s="9" t="s">
        <v>103</v>
      </c>
      <c r="E23" s="10" t="s">
        <v>104</v>
      </c>
      <c r="F23" s="9" t="s">
        <v>31</v>
      </c>
      <c r="G23" s="10" t="s">
        <v>105</v>
      </c>
      <c r="H23" s="9" t="s">
        <v>27</v>
      </c>
      <c r="I23" s="10" t="s">
        <v>106</v>
      </c>
      <c r="J23" s="9">
        <v>1</v>
      </c>
      <c r="K23" s="9"/>
    </row>
    <row r="24" spans="1:11" ht="36">
      <c r="A24" s="2"/>
      <c r="B24" s="7">
        <f t="shared" si="0"/>
        <v>22</v>
      </c>
      <c r="C24" s="11" t="s">
        <v>107</v>
      </c>
      <c r="D24" s="12" t="s">
        <v>108</v>
      </c>
      <c r="E24" s="13" t="s">
        <v>109</v>
      </c>
      <c r="F24" s="12" t="s">
        <v>110</v>
      </c>
      <c r="G24" s="13" t="s">
        <v>111</v>
      </c>
      <c r="H24" s="12" t="s">
        <v>112</v>
      </c>
      <c r="I24" s="13" t="s">
        <v>16</v>
      </c>
      <c r="J24" s="12">
        <v>1</v>
      </c>
      <c r="K24" s="12"/>
    </row>
    <row r="25" spans="1:11" ht="24">
      <c r="A25" s="2"/>
      <c r="B25" s="7">
        <f t="shared" si="0"/>
        <v>23</v>
      </c>
      <c r="C25" s="8" t="s">
        <v>113</v>
      </c>
      <c r="D25" s="9" t="s">
        <v>114</v>
      </c>
      <c r="E25" s="10" t="s">
        <v>115</v>
      </c>
      <c r="F25" s="9" t="s">
        <v>116</v>
      </c>
      <c r="G25" s="10" t="s">
        <v>117</v>
      </c>
      <c r="H25" s="9" t="s">
        <v>118</v>
      </c>
      <c r="I25" s="13" t="s">
        <v>16</v>
      </c>
      <c r="J25" s="9">
        <v>1</v>
      </c>
      <c r="K25" s="9"/>
    </row>
    <row r="26" spans="1:11" ht="24">
      <c r="A26" s="2"/>
      <c r="B26" s="7">
        <f t="shared" si="0"/>
        <v>24</v>
      </c>
      <c r="C26" s="11" t="s">
        <v>119</v>
      </c>
      <c r="D26" s="12" t="s">
        <v>120</v>
      </c>
      <c r="E26" s="13" t="s">
        <v>121</v>
      </c>
      <c r="F26" s="12" t="s">
        <v>110</v>
      </c>
      <c r="G26" s="13" t="s">
        <v>122</v>
      </c>
      <c r="H26" s="12" t="s">
        <v>112</v>
      </c>
      <c r="I26" s="13" t="s">
        <v>16</v>
      </c>
      <c r="J26" s="12">
        <v>1</v>
      </c>
      <c r="K26" s="12"/>
    </row>
    <row r="27" spans="1:11" ht="24">
      <c r="A27" s="2"/>
      <c r="B27" s="7">
        <f t="shared" si="0"/>
        <v>25</v>
      </c>
      <c r="C27" s="8" t="s">
        <v>113</v>
      </c>
      <c r="D27" s="9" t="s">
        <v>123</v>
      </c>
      <c r="E27" s="10" t="s">
        <v>124</v>
      </c>
      <c r="F27" s="9" t="s">
        <v>125</v>
      </c>
      <c r="G27" s="10" t="s">
        <v>126</v>
      </c>
      <c r="H27" s="9" t="s">
        <v>127</v>
      </c>
      <c r="I27" s="13" t="s">
        <v>16</v>
      </c>
      <c r="J27" s="9">
        <v>3</v>
      </c>
      <c r="K27" s="9"/>
    </row>
    <row r="28" spans="1:11">
      <c r="A28" s="2"/>
      <c r="B28" s="7">
        <f t="shared" si="0"/>
        <v>26</v>
      </c>
      <c r="C28" s="8" t="s">
        <v>113</v>
      </c>
      <c r="D28" s="12" t="s">
        <v>128</v>
      </c>
      <c r="E28" s="13" t="s">
        <v>129</v>
      </c>
      <c r="F28" s="12" t="s">
        <v>130</v>
      </c>
      <c r="G28" s="13" t="s">
        <v>131</v>
      </c>
      <c r="H28" s="12" t="s">
        <v>132</v>
      </c>
      <c r="I28" s="13" t="s">
        <v>16</v>
      </c>
      <c r="J28" s="12">
        <v>1</v>
      </c>
      <c r="K28" s="12"/>
    </row>
    <row r="29" spans="1:11" ht="24">
      <c r="A29" s="2"/>
      <c r="B29" s="7">
        <f t="shared" si="0"/>
        <v>27</v>
      </c>
      <c r="C29" s="8" t="s">
        <v>133</v>
      </c>
      <c r="D29" s="9" t="s">
        <v>134</v>
      </c>
      <c r="E29" s="10" t="s">
        <v>135</v>
      </c>
      <c r="F29" s="9" t="s">
        <v>136</v>
      </c>
      <c r="G29" s="10" t="s">
        <v>137</v>
      </c>
      <c r="H29" s="9" t="s">
        <v>138</v>
      </c>
      <c r="I29" s="13" t="s">
        <v>16</v>
      </c>
      <c r="J29" s="9">
        <v>1</v>
      </c>
      <c r="K29" s="9"/>
    </row>
    <row r="30" spans="1:11" ht="24">
      <c r="A30" s="2"/>
      <c r="B30" s="7">
        <f t="shared" si="0"/>
        <v>28</v>
      </c>
      <c r="C30" s="11" t="s">
        <v>139</v>
      </c>
      <c r="D30" s="12" t="s">
        <v>140</v>
      </c>
      <c r="E30" s="13" t="s">
        <v>141</v>
      </c>
      <c r="F30" s="12" t="s">
        <v>142</v>
      </c>
      <c r="G30" s="13" t="s">
        <v>143</v>
      </c>
      <c r="H30" s="12" t="s">
        <v>144</v>
      </c>
      <c r="I30" s="13" t="s">
        <v>16</v>
      </c>
      <c r="J30" s="12">
        <v>1</v>
      </c>
      <c r="K30" s="12"/>
    </row>
    <row r="31" spans="1:11">
      <c r="A31" s="2"/>
      <c r="B31" s="7">
        <f t="shared" si="0"/>
        <v>29</v>
      </c>
      <c r="C31" s="8" t="s">
        <v>145</v>
      </c>
      <c r="D31" s="9" t="s">
        <v>146</v>
      </c>
      <c r="E31" s="10" t="s">
        <v>147</v>
      </c>
      <c r="F31" s="9" t="s">
        <v>84</v>
      </c>
      <c r="G31" s="10" t="s">
        <v>148</v>
      </c>
      <c r="H31" s="9" t="s">
        <v>27</v>
      </c>
      <c r="I31" s="13" t="s">
        <v>16</v>
      </c>
      <c r="J31" s="9">
        <v>1</v>
      </c>
      <c r="K31" s="9"/>
    </row>
    <row r="32" spans="1:11" ht="24">
      <c r="A32" s="2"/>
      <c r="B32" s="7">
        <f t="shared" si="0"/>
        <v>30</v>
      </c>
      <c r="C32" s="11" t="s">
        <v>149</v>
      </c>
      <c r="D32" s="12" t="s">
        <v>150</v>
      </c>
      <c r="E32" s="13" t="s">
        <v>151</v>
      </c>
      <c r="F32" s="9" t="s">
        <v>13</v>
      </c>
      <c r="G32" s="13" t="s">
        <v>152</v>
      </c>
      <c r="H32" s="12" t="s">
        <v>153</v>
      </c>
      <c r="I32" s="13" t="s">
        <v>16</v>
      </c>
      <c r="J32" s="12">
        <v>1</v>
      </c>
      <c r="K32" s="12"/>
    </row>
    <row r="33" spans="1:11">
      <c r="A33" s="2"/>
      <c r="B33" s="7">
        <f t="shared" si="0"/>
        <v>31</v>
      </c>
      <c r="C33" s="8" t="s">
        <v>154</v>
      </c>
      <c r="D33" s="9" t="s">
        <v>155</v>
      </c>
      <c r="E33" s="10" t="s">
        <v>156</v>
      </c>
      <c r="F33" s="9" t="s">
        <v>13</v>
      </c>
      <c r="G33" s="10" t="s">
        <v>157</v>
      </c>
      <c r="H33" s="9" t="s">
        <v>158</v>
      </c>
      <c r="I33" s="13" t="s">
        <v>16</v>
      </c>
      <c r="J33" s="9">
        <v>1</v>
      </c>
      <c r="K33" s="9"/>
    </row>
    <row r="34" spans="1:11" ht="48">
      <c r="A34" s="2"/>
      <c r="B34" s="7">
        <f t="shared" si="0"/>
        <v>32</v>
      </c>
      <c r="C34" s="11" t="s">
        <v>159</v>
      </c>
      <c r="D34" s="12" t="s">
        <v>160</v>
      </c>
      <c r="E34" s="13" t="s">
        <v>161</v>
      </c>
      <c r="F34" s="9" t="s">
        <v>13</v>
      </c>
      <c r="G34" s="13" t="s">
        <v>162</v>
      </c>
      <c r="H34" s="12" t="s">
        <v>163</v>
      </c>
      <c r="I34" s="13" t="s">
        <v>16</v>
      </c>
      <c r="J34" s="12">
        <v>1</v>
      </c>
      <c r="K34" s="12"/>
    </row>
    <row r="35" spans="1:11" ht="36">
      <c r="A35" s="2"/>
      <c r="B35" s="7">
        <f t="shared" ref="B35:B66" si="1">ROW(B35)-ROW($B$2)</f>
        <v>33</v>
      </c>
      <c r="C35" s="8" t="s">
        <v>164</v>
      </c>
      <c r="D35" s="9" t="s">
        <v>165</v>
      </c>
      <c r="E35" s="10" t="s">
        <v>166</v>
      </c>
      <c r="F35" s="9" t="s">
        <v>13</v>
      </c>
      <c r="G35" s="10" t="s">
        <v>167</v>
      </c>
      <c r="H35" s="9" t="s">
        <v>168</v>
      </c>
      <c r="I35" s="13" t="s">
        <v>16</v>
      </c>
      <c r="J35" s="9">
        <v>1</v>
      </c>
      <c r="K35" s="9"/>
    </row>
    <row r="36" spans="1:11" ht="48">
      <c r="A36" s="2"/>
      <c r="B36" s="7">
        <f t="shared" si="1"/>
        <v>34</v>
      </c>
      <c r="C36" s="11" t="s">
        <v>169</v>
      </c>
      <c r="D36" s="12" t="s">
        <v>170</v>
      </c>
      <c r="E36" s="13" t="s">
        <v>171</v>
      </c>
      <c r="F36" s="12" t="s">
        <v>172</v>
      </c>
      <c r="G36" s="13" t="s">
        <v>173</v>
      </c>
      <c r="H36" s="12" t="s">
        <v>174</v>
      </c>
      <c r="I36" s="13" t="s">
        <v>16</v>
      </c>
      <c r="J36" s="12">
        <v>1</v>
      </c>
      <c r="K36" s="12"/>
    </row>
    <row r="37" spans="1:11" ht="60">
      <c r="A37" s="2"/>
      <c r="B37" s="7">
        <f t="shared" si="1"/>
        <v>35</v>
      </c>
      <c r="C37" s="8" t="s">
        <v>169</v>
      </c>
      <c r="D37" s="9" t="s">
        <v>175</v>
      </c>
      <c r="E37" s="10" t="s">
        <v>176</v>
      </c>
      <c r="F37" s="9" t="s">
        <v>13</v>
      </c>
      <c r="G37" s="10" t="s">
        <v>177</v>
      </c>
      <c r="H37" s="9" t="s">
        <v>178</v>
      </c>
      <c r="I37" s="13" t="s">
        <v>16</v>
      </c>
      <c r="J37" s="9">
        <v>1</v>
      </c>
      <c r="K37" s="9"/>
    </row>
    <row r="38" spans="1:11" ht="24">
      <c r="A38" s="2"/>
      <c r="B38" s="7">
        <f t="shared" si="1"/>
        <v>36</v>
      </c>
      <c r="C38" s="11" t="s">
        <v>179</v>
      </c>
      <c r="D38" s="12" t="s">
        <v>180</v>
      </c>
      <c r="E38" s="13" t="s">
        <v>181</v>
      </c>
      <c r="F38" s="12" t="s">
        <v>182</v>
      </c>
      <c r="G38" s="13" t="s">
        <v>183</v>
      </c>
      <c r="H38" s="12" t="s">
        <v>27</v>
      </c>
      <c r="I38" s="13" t="s">
        <v>184</v>
      </c>
      <c r="J38" s="12">
        <v>1</v>
      </c>
      <c r="K38" s="12"/>
    </row>
    <row r="39" spans="1:11" ht="24">
      <c r="A39" s="2"/>
      <c r="B39" s="7">
        <f t="shared" si="1"/>
        <v>37</v>
      </c>
      <c r="C39" s="8" t="s">
        <v>185</v>
      </c>
      <c r="D39" s="9" t="s">
        <v>186</v>
      </c>
      <c r="E39" s="10" t="s">
        <v>187</v>
      </c>
      <c r="F39" s="9" t="s">
        <v>188</v>
      </c>
      <c r="G39" s="10" t="s">
        <v>189</v>
      </c>
      <c r="H39" s="9" t="s">
        <v>190</v>
      </c>
      <c r="I39" s="10" t="s">
        <v>191</v>
      </c>
      <c r="J39" s="9">
        <v>1</v>
      </c>
      <c r="K39" s="9"/>
    </row>
    <row r="40" spans="1:11" ht="24">
      <c r="A40" s="2"/>
      <c r="B40" s="7">
        <f t="shared" si="1"/>
        <v>38</v>
      </c>
      <c r="C40" s="11" t="s">
        <v>185</v>
      </c>
      <c r="D40" s="12" t="s">
        <v>192</v>
      </c>
      <c r="E40" s="13" t="s">
        <v>193</v>
      </c>
      <c r="F40" s="12" t="s">
        <v>84</v>
      </c>
      <c r="G40" s="13" t="s">
        <v>194</v>
      </c>
      <c r="H40" s="12" t="s">
        <v>27</v>
      </c>
      <c r="I40" s="13" t="s">
        <v>195</v>
      </c>
      <c r="J40" s="12">
        <v>1</v>
      </c>
      <c r="K40" s="12"/>
    </row>
    <row r="41" spans="1:11">
      <c r="A41" s="2"/>
      <c r="B41" s="7">
        <f t="shared" si="1"/>
        <v>39</v>
      </c>
      <c r="C41" s="8" t="s">
        <v>185</v>
      </c>
      <c r="D41" s="9" t="s">
        <v>196</v>
      </c>
      <c r="E41" s="10" t="s">
        <v>197</v>
      </c>
      <c r="F41" s="9" t="s">
        <v>84</v>
      </c>
      <c r="G41" s="10" t="s">
        <v>198</v>
      </c>
      <c r="H41" s="9" t="s">
        <v>27</v>
      </c>
      <c r="I41" s="10" t="s">
        <v>199</v>
      </c>
      <c r="J41" s="9">
        <v>1</v>
      </c>
      <c r="K41" s="9"/>
    </row>
    <row r="42" spans="1:11">
      <c r="A42" s="2"/>
      <c r="B42" s="7">
        <f t="shared" si="1"/>
        <v>40</v>
      </c>
      <c r="C42" s="11" t="s">
        <v>185</v>
      </c>
      <c r="D42" s="12" t="s">
        <v>200</v>
      </c>
      <c r="E42" s="13" t="s">
        <v>201</v>
      </c>
      <c r="F42" s="12" t="s">
        <v>84</v>
      </c>
      <c r="G42" s="13" t="s">
        <v>202</v>
      </c>
      <c r="H42" s="12" t="s">
        <v>27</v>
      </c>
      <c r="I42" s="13" t="s">
        <v>203</v>
      </c>
      <c r="J42" s="12">
        <v>1</v>
      </c>
      <c r="K42" s="12"/>
    </row>
    <row r="43" spans="1:11">
      <c r="A43" s="2"/>
      <c r="B43" s="7">
        <f t="shared" si="1"/>
        <v>41</v>
      </c>
      <c r="C43" s="8" t="s">
        <v>185</v>
      </c>
      <c r="D43" s="9" t="s">
        <v>204</v>
      </c>
      <c r="E43" s="10" t="s">
        <v>205</v>
      </c>
      <c r="F43" s="9" t="s">
        <v>84</v>
      </c>
      <c r="G43" s="10" t="s">
        <v>206</v>
      </c>
      <c r="H43" s="9" t="s">
        <v>27</v>
      </c>
      <c r="I43" s="10" t="s">
        <v>207</v>
      </c>
      <c r="J43" s="9">
        <v>1</v>
      </c>
      <c r="K43" s="9"/>
    </row>
    <row r="44" spans="1:11" ht="24">
      <c r="A44" s="2"/>
      <c r="B44" s="7">
        <f t="shared" si="1"/>
        <v>42</v>
      </c>
      <c r="C44" s="11" t="s">
        <v>208</v>
      </c>
      <c r="D44" s="12" t="s">
        <v>209</v>
      </c>
      <c r="E44" s="13" t="s">
        <v>210</v>
      </c>
      <c r="F44" s="12" t="s">
        <v>211</v>
      </c>
      <c r="G44" s="13" t="s">
        <v>212</v>
      </c>
      <c r="H44" s="12" t="s">
        <v>213</v>
      </c>
      <c r="I44" s="13" t="s">
        <v>16</v>
      </c>
      <c r="J44" s="12">
        <v>1</v>
      </c>
      <c r="K44" s="12"/>
    </row>
    <row r="45" spans="1:11" ht="24">
      <c r="A45" s="2"/>
      <c r="B45" s="7">
        <f t="shared" si="1"/>
        <v>43</v>
      </c>
      <c r="C45" s="8" t="s">
        <v>208</v>
      </c>
      <c r="D45" s="9" t="s">
        <v>214</v>
      </c>
      <c r="E45" s="10" t="s">
        <v>215</v>
      </c>
      <c r="F45" s="9" t="s">
        <v>211</v>
      </c>
      <c r="G45" s="10" t="s">
        <v>216</v>
      </c>
      <c r="H45" s="9" t="s">
        <v>213</v>
      </c>
      <c r="I45" s="13" t="s">
        <v>16</v>
      </c>
      <c r="J45" s="9">
        <v>1</v>
      </c>
      <c r="K45" s="9"/>
    </row>
    <row r="46" spans="1:11" ht="24">
      <c r="A46" s="2"/>
      <c r="B46" s="7">
        <f t="shared" si="1"/>
        <v>44</v>
      </c>
      <c r="C46" s="11" t="s">
        <v>217</v>
      </c>
      <c r="D46" s="12" t="s">
        <v>218</v>
      </c>
      <c r="E46" s="13" t="s">
        <v>219</v>
      </c>
      <c r="F46" s="9" t="s">
        <v>13</v>
      </c>
      <c r="G46" s="13" t="s">
        <v>220</v>
      </c>
      <c r="H46" s="12" t="s">
        <v>221</v>
      </c>
      <c r="I46" s="13" t="s">
        <v>222</v>
      </c>
      <c r="J46" s="12">
        <v>1</v>
      </c>
      <c r="K46" s="12"/>
    </row>
    <row r="47" spans="1:11" ht="24">
      <c r="A47" s="2"/>
      <c r="B47" s="7">
        <f t="shared" si="1"/>
        <v>45</v>
      </c>
      <c r="C47" s="8" t="s">
        <v>223</v>
      </c>
      <c r="D47" s="9" t="s">
        <v>224</v>
      </c>
      <c r="E47" s="10" t="s">
        <v>225</v>
      </c>
      <c r="F47" s="9" t="s">
        <v>226</v>
      </c>
      <c r="G47" s="10" t="s">
        <v>227</v>
      </c>
      <c r="H47" s="9" t="s">
        <v>228</v>
      </c>
      <c r="I47" s="10" t="s">
        <v>16</v>
      </c>
      <c r="J47" s="9">
        <v>1</v>
      </c>
      <c r="K47" s="9"/>
    </row>
    <row r="48" spans="1:11" ht="24">
      <c r="A48" s="2"/>
      <c r="B48" s="7">
        <f t="shared" si="1"/>
        <v>46</v>
      </c>
      <c r="C48" s="11" t="s">
        <v>229</v>
      </c>
      <c r="D48" s="12" t="s">
        <v>230</v>
      </c>
      <c r="E48" s="13" t="s">
        <v>231</v>
      </c>
      <c r="F48" s="12" t="s">
        <v>226</v>
      </c>
      <c r="G48" s="13" t="s">
        <v>232</v>
      </c>
      <c r="H48" s="12" t="s">
        <v>228</v>
      </c>
      <c r="I48" s="10" t="s">
        <v>16</v>
      </c>
      <c r="J48" s="12">
        <v>1</v>
      </c>
      <c r="K48" s="12"/>
    </row>
    <row r="49" spans="1:11">
      <c r="A49" s="2"/>
      <c r="B49" s="7">
        <f t="shared" si="1"/>
        <v>47</v>
      </c>
      <c r="C49" s="8" t="s">
        <v>233</v>
      </c>
      <c r="D49" s="9" t="s">
        <v>234</v>
      </c>
      <c r="E49" s="10" t="s">
        <v>235</v>
      </c>
      <c r="F49" s="9" t="s">
        <v>236</v>
      </c>
      <c r="G49" s="10" t="s">
        <v>237</v>
      </c>
      <c r="H49" s="9" t="s">
        <v>33</v>
      </c>
      <c r="I49" s="10" t="s">
        <v>238</v>
      </c>
      <c r="J49" s="9">
        <v>2</v>
      </c>
      <c r="K49" s="9"/>
    </row>
    <row r="50" spans="1:11">
      <c r="A50" s="2"/>
      <c r="B50" s="7">
        <f t="shared" si="1"/>
        <v>48</v>
      </c>
      <c r="C50" s="11" t="s">
        <v>239</v>
      </c>
      <c r="D50" s="12" t="s">
        <v>240</v>
      </c>
      <c r="E50" s="13" t="s">
        <v>241</v>
      </c>
      <c r="F50" s="12" t="s">
        <v>236</v>
      </c>
      <c r="G50" s="13" t="s">
        <v>242</v>
      </c>
      <c r="H50" s="12" t="s">
        <v>33</v>
      </c>
      <c r="I50" s="13" t="s">
        <v>243</v>
      </c>
      <c r="J50" s="12">
        <v>3</v>
      </c>
      <c r="K50" s="12"/>
    </row>
    <row r="51" spans="1:11">
      <c r="A51" s="2"/>
      <c r="B51" s="7">
        <f t="shared" si="1"/>
        <v>49</v>
      </c>
      <c r="C51" s="8" t="s">
        <v>233</v>
      </c>
      <c r="D51" s="9" t="s">
        <v>244</v>
      </c>
      <c r="E51" s="10" t="s">
        <v>245</v>
      </c>
      <c r="F51" s="9" t="s">
        <v>236</v>
      </c>
      <c r="G51" s="10" t="s">
        <v>246</v>
      </c>
      <c r="H51" s="9" t="s">
        <v>33</v>
      </c>
      <c r="I51" s="10" t="s">
        <v>247</v>
      </c>
      <c r="J51" s="9">
        <v>1</v>
      </c>
      <c r="K51" s="9"/>
    </row>
    <row r="52" spans="1:11">
      <c r="A52" s="2"/>
      <c r="B52" s="7">
        <f t="shared" si="1"/>
        <v>50</v>
      </c>
      <c r="C52" s="11" t="s">
        <v>233</v>
      </c>
      <c r="D52" s="12" t="s">
        <v>248</v>
      </c>
      <c r="E52" s="13" t="s">
        <v>249</v>
      </c>
      <c r="F52" s="12" t="s">
        <v>250</v>
      </c>
      <c r="G52" s="13" t="s">
        <v>251</v>
      </c>
      <c r="H52" s="12" t="s">
        <v>33</v>
      </c>
      <c r="I52" s="13" t="s">
        <v>252</v>
      </c>
      <c r="J52" s="12">
        <v>2</v>
      </c>
      <c r="K52" s="12"/>
    </row>
    <row r="53" spans="1:11">
      <c r="A53" s="2"/>
      <c r="B53" s="7">
        <f t="shared" si="1"/>
        <v>51</v>
      </c>
      <c r="C53" s="8" t="s">
        <v>233</v>
      </c>
      <c r="D53" s="9" t="s">
        <v>253</v>
      </c>
      <c r="E53" s="10" t="s">
        <v>254</v>
      </c>
      <c r="F53" s="9" t="s">
        <v>236</v>
      </c>
      <c r="G53" s="10" t="s">
        <v>255</v>
      </c>
      <c r="H53" s="9" t="s">
        <v>33</v>
      </c>
      <c r="I53" s="10" t="s">
        <v>256</v>
      </c>
      <c r="J53" s="9">
        <v>1</v>
      </c>
      <c r="K53" s="9"/>
    </row>
    <row r="54" spans="1:11">
      <c r="A54" s="2"/>
      <c r="B54" s="7">
        <f t="shared" si="1"/>
        <v>52</v>
      </c>
      <c r="C54" s="11" t="s">
        <v>239</v>
      </c>
      <c r="D54" s="12" t="s">
        <v>257</v>
      </c>
      <c r="E54" s="13" t="s">
        <v>258</v>
      </c>
      <c r="F54" s="12" t="s">
        <v>236</v>
      </c>
      <c r="G54" s="13" t="s">
        <v>259</v>
      </c>
      <c r="H54" s="12" t="s">
        <v>33</v>
      </c>
      <c r="I54" s="13" t="s">
        <v>260</v>
      </c>
      <c r="J54" s="12">
        <v>1</v>
      </c>
      <c r="K54" s="12"/>
    </row>
    <row r="55" spans="1:11">
      <c r="A55" s="2"/>
      <c r="B55" s="7">
        <f t="shared" si="1"/>
        <v>53</v>
      </c>
      <c r="C55" s="8" t="s">
        <v>233</v>
      </c>
      <c r="D55" s="9" t="s">
        <v>261</v>
      </c>
      <c r="E55" s="10" t="s">
        <v>262</v>
      </c>
      <c r="F55" s="9" t="s">
        <v>250</v>
      </c>
      <c r="G55" s="10" t="s">
        <v>263</v>
      </c>
      <c r="H55" s="9" t="s">
        <v>33</v>
      </c>
      <c r="I55" s="10" t="s">
        <v>264</v>
      </c>
      <c r="J55" s="9">
        <v>2</v>
      </c>
      <c r="K55" s="9"/>
    </row>
    <row r="56" spans="1:11">
      <c r="A56" s="2"/>
      <c r="B56" s="7">
        <f t="shared" si="1"/>
        <v>54</v>
      </c>
      <c r="C56" s="11" t="s">
        <v>233</v>
      </c>
      <c r="D56" s="12" t="s">
        <v>265</v>
      </c>
      <c r="E56" s="13" t="s">
        <v>266</v>
      </c>
      <c r="F56" s="12" t="s">
        <v>236</v>
      </c>
      <c r="G56" s="13" t="s">
        <v>267</v>
      </c>
      <c r="H56" s="12" t="s">
        <v>33</v>
      </c>
      <c r="I56" s="13" t="s">
        <v>268</v>
      </c>
      <c r="J56" s="12">
        <v>1</v>
      </c>
      <c r="K56" s="12"/>
    </row>
    <row r="57" spans="1:11">
      <c r="A57" s="2"/>
      <c r="B57" s="7">
        <f t="shared" si="1"/>
        <v>55</v>
      </c>
      <c r="C57" s="8" t="s">
        <v>239</v>
      </c>
      <c r="D57" s="9" t="s">
        <v>269</v>
      </c>
      <c r="E57" s="10" t="s">
        <v>270</v>
      </c>
      <c r="F57" s="9" t="s">
        <v>236</v>
      </c>
      <c r="G57" s="10" t="s">
        <v>271</v>
      </c>
      <c r="H57" s="9" t="s">
        <v>33</v>
      </c>
      <c r="I57" s="10" t="s">
        <v>272</v>
      </c>
      <c r="J57" s="9">
        <v>8</v>
      </c>
      <c r="K57" s="9"/>
    </row>
    <row r="58" spans="1:11">
      <c r="A58" s="2"/>
      <c r="B58" s="7">
        <f t="shared" si="1"/>
        <v>56</v>
      </c>
      <c r="C58" s="11" t="s">
        <v>233</v>
      </c>
      <c r="D58" s="12" t="s">
        <v>273</v>
      </c>
      <c r="E58" s="13" t="s">
        <v>274</v>
      </c>
      <c r="F58" s="12" t="s">
        <v>236</v>
      </c>
      <c r="G58" s="13" t="s">
        <v>275</v>
      </c>
      <c r="H58" s="12" t="s">
        <v>33</v>
      </c>
      <c r="I58" s="13" t="s">
        <v>222</v>
      </c>
      <c r="J58" s="12">
        <v>1</v>
      </c>
      <c r="K58" s="12"/>
    </row>
    <row r="59" spans="1:11">
      <c r="A59" s="2"/>
      <c r="B59" s="7">
        <f t="shared" si="1"/>
        <v>57</v>
      </c>
      <c r="C59" s="8" t="s">
        <v>233</v>
      </c>
      <c r="D59" s="9" t="s">
        <v>276</v>
      </c>
      <c r="E59" s="10" t="s">
        <v>277</v>
      </c>
      <c r="F59" s="9" t="s">
        <v>278</v>
      </c>
      <c r="G59" s="10" t="s">
        <v>279</v>
      </c>
      <c r="H59" s="9" t="s">
        <v>33</v>
      </c>
      <c r="I59" s="10" t="s">
        <v>272</v>
      </c>
      <c r="J59" s="9">
        <v>2</v>
      </c>
      <c r="K59" s="9"/>
    </row>
    <row r="60" spans="1:11">
      <c r="A60" s="2"/>
      <c r="B60" s="7">
        <f t="shared" si="1"/>
        <v>58</v>
      </c>
      <c r="C60" s="8" t="s">
        <v>233</v>
      </c>
      <c r="D60" s="12" t="s">
        <v>280</v>
      </c>
      <c r="E60" s="13" t="s">
        <v>281</v>
      </c>
      <c r="F60" s="12" t="s">
        <v>282</v>
      </c>
      <c r="G60" s="13" t="s">
        <v>283</v>
      </c>
      <c r="H60" s="12" t="s">
        <v>33</v>
      </c>
      <c r="I60" s="13" t="s">
        <v>284</v>
      </c>
      <c r="J60" s="12">
        <v>1</v>
      </c>
      <c r="K60" s="12"/>
    </row>
    <row r="61" spans="1:11">
      <c r="A61" s="2"/>
      <c r="B61" s="7">
        <f t="shared" si="1"/>
        <v>59</v>
      </c>
      <c r="C61" s="8" t="s">
        <v>233</v>
      </c>
      <c r="D61" s="9" t="s">
        <v>285</v>
      </c>
      <c r="E61" s="10" t="s">
        <v>286</v>
      </c>
      <c r="F61" s="9" t="s">
        <v>236</v>
      </c>
      <c r="G61" s="10" t="s">
        <v>287</v>
      </c>
      <c r="H61" s="9" t="s">
        <v>33</v>
      </c>
      <c r="I61" s="10" t="s">
        <v>288</v>
      </c>
      <c r="J61" s="9">
        <v>4</v>
      </c>
      <c r="K61" s="9"/>
    </row>
    <row r="62" spans="1:11">
      <c r="A62" s="2"/>
      <c r="B62" s="7">
        <f t="shared" si="1"/>
        <v>60</v>
      </c>
      <c r="C62" s="11" t="s">
        <v>233</v>
      </c>
      <c r="D62" s="12" t="s">
        <v>289</v>
      </c>
      <c r="E62" s="13" t="s">
        <v>290</v>
      </c>
      <c r="F62" s="12" t="s">
        <v>236</v>
      </c>
      <c r="G62" s="13" t="s">
        <v>291</v>
      </c>
      <c r="H62" s="12" t="s">
        <v>33</v>
      </c>
      <c r="I62" s="13" t="s">
        <v>284</v>
      </c>
      <c r="J62" s="12">
        <v>2</v>
      </c>
      <c r="K62" s="12"/>
    </row>
    <row r="63" spans="1:11" ht="48">
      <c r="A63" s="2"/>
      <c r="B63" s="7">
        <f t="shared" si="1"/>
        <v>61</v>
      </c>
      <c r="C63" s="8" t="s">
        <v>292</v>
      </c>
      <c r="D63" s="9" t="s">
        <v>293</v>
      </c>
      <c r="E63" s="10" t="s">
        <v>294</v>
      </c>
      <c r="F63" s="9" t="s">
        <v>13</v>
      </c>
      <c r="G63" s="10" t="s">
        <v>295</v>
      </c>
      <c r="H63" s="9" t="s">
        <v>296</v>
      </c>
      <c r="I63" s="10" t="s">
        <v>16</v>
      </c>
      <c r="J63" s="9">
        <v>1</v>
      </c>
      <c r="K63" s="9"/>
    </row>
    <row r="64" spans="1:11">
      <c r="A64" s="2"/>
      <c r="B64" s="7">
        <f t="shared" si="1"/>
        <v>62</v>
      </c>
      <c r="C64" s="11" t="s">
        <v>297</v>
      </c>
      <c r="D64" s="12" t="s">
        <v>298</v>
      </c>
      <c r="E64" s="13" t="s">
        <v>299</v>
      </c>
      <c r="F64" s="9" t="s">
        <v>13</v>
      </c>
      <c r="G64" s="13" t="s">
        <v>300</v>
      </c>
      <c r="H64" s="12" t="s">
        <v>301</v>
      </c>
      <c r="I64" s="10" t="s">
        <v>16</v>
      </c>
      <c r="J64" s="12">
        <v>1</v>
      </c>
      <c r="K64" s="12"/>
    </row>
    <row r="65" spans="1:11">
      <c r="A65" s="2"/>
      <c r="B65" s="7">
        <f t="shared" si="1"/>
        <v>63</v>
      </c>
      <c r="C65" s="8" t="s">
        <v>302</v>
      </c>
      <c r="D65" s="9" t="s">
        <v>303</v>
      </c>
      <c r="E65" s="10" t="s">
        <v>304</v>
      </c>
      <c r="F65" s="9" t="s">
        <v>305</v>
      </c>
      <c r="G65" s="10" t="s">
        <v>306</v>
      </c>
      <c r="H65" s="9" t="s">
        <v>112</v>
      </c>
      <c r="I65" s="10" t="s">
        <v>16</v>
      </c>
      <c r="J65" s="9">
        <v>1</v>
      </c>
      <c r="K65" s="9"/>
    </row>
    <row r="66" spans="1:11">
      <c r="A66" s="2"/>
      <c r="B66" s="7">
        <f t="shared" si="1"/>
        <v>64</v>
      </c>
      <c r="C66" s="11" t="s">
        <v>302</v>
      </c>
      <c r="D66" s="12" t="s">
        <v>307</v>
      </c>
      <c r="E66" s="13" t="s">
        <v>308</v>
      </c>
      <c r="F66" s="12" t="s">
        <v>309</v>
      </c>
      <c r="G66" s="13" t="s">
        <v>310</v>
      </c>
      <c r="H66" s="12" t="s">
        <v>112</v>
      </c>
      <c r="I66" s="10" t="s">
        <v>16</v>
      </c>
      <c r="J66" s="12">
        <v>1</v>
      </c>
      <c r="K66" s="12"/>
    </row>
    <row r="67" spans="1:11">
      <c r="A67" s="2"/>
      <c r="B67" s="7">
        <f t="shared" ref="B67:B74" si="2">ROW(B67)-ROW($B$2)</f>
        <v>65</v>
      </c>
      <c r="C67" s="8" t="s">
        <v>302</v>
      </c>
      <c r="D67" s="9" t="s">
        <v>311</v>
      </c>
      <c r="E67" s="10" t="s">
        <v>312</v>
      </c>
      <c r="F67" s="9" t="s">
        <v>313</v>
      </c>
      <c r="G67" s="10" t="s">
        <v>314</v>
      </c>
      <c r="H67" s="9" t="s">
        <v>132</v>
      </c>
      <c r="I67" s="10" t="s">
        <v>16</v>
      </c>
      <c r="J67" s="9">
        <v>1</v>
      </c>
      <c r="K67" s="9"/>
    </row>
    <row r="68" spans="1:11">
      <c r="A68" s="2"/>
      <c r="B68" s="7">
        <f t="shared" si="2"/>
        <v>66</v>
      </c>
      <c r="C68" s="11" t="s">
        <v>302</v>
      </c>
      <c r="D68" s="12" t="s">
        <v>315</v>
      </c>
      <c r="E68" s="13" t="s">
        <v>316</v>
      </c>
      <c r="F68" s="12" t="s">
        <v>317</v>
      </c>
      <c r="G68" s="13" t="s">
        <v>318</v>
      </c>
      <c r="H68" s="12" t="s">
        <v>319</v>
      </c>
      <c r="I68" s="10" t="s">
        <v>16</v>
      </c>
      <c r="J68" s="12">
        <v>1</v>
      </c>
      <c r="K68" s="12"/>
    </row>
    <row r="69" spans="1:11" ht="24">
      <c r="A69" s="2"/>
      <c r="B69" s="7">
        <f t="shared" si="2"/>
        <v>67</v>
      </c>
      <c r="C69" s="8" t="s">
        <v>320</v>
      </c>
      <c r="D69" s="9" t="s">
        <v>321</v>
      </c>
      <c r="E69" s="10" t="s">
        <v>322</v>
      </c>
      <c r="F69" s="9" t="s">
        <v>13</v>
      </c>
      <c r="G69" s="10" t="s">
        <v>323</v>
      </c>
      <c r="H69" s="9" t="s">
        <v>324</v>
      </c>
      <c r="I69" s="10" t="s">
        <v>16</v>
      </c>
      <c r="J69" s="9">
        <v>1</v>
      </c>
      <c r="K69" s="9"/>
    </row>
    <row r="70" spans="1:11">
      <c r="A70" s="2"/>
      <c r="B70" s="7">
        <f t="shared" si="2"/>
        <v>68</v>
      </c>
      <c r="C70" s="11" t="s">
        <v>320</v>
      </c>
      <c r="D70" s="12" t="s">
        <v>325</v>
      </c>
      <c r="E70" s="13" t="s">
        <v>326</v>
      </c>
      <c r="F70" s="9" t="s">
        <v>13</v>
      </c>
      <c r="G70" s="13" t="s">
        <v>327</v>
      </c>
      <c r="H70" s="12" t="s">
        <v>324</v>
      </c>
      <c r="I70" s="10" t="s">
        <v>16</v>
      </c>
      <c r="J70" s="12">
        <v>1</v>
      </c>
      <c r="K70" s="12"/>
    </row>
    <row r="71" spans="1:11" ht="24">
      <c r="A71" s="2"/>
      <c r="B71" s="7">
        <f t="shared" si="2"/>
        <v>69</v>
      </c>
      <c r="C71" s="8" t="s">
        <v>328</v>
      </c>
      <c r="D71" s="9" t="s">
        <v>329</v>
      </c>
      <c r="E71" s="10" t="s">
        <v>330</v>
      </c>
      <c r="F71" s="9" t="s">
        <v>13</v>
      </c>
      <c r="G71" s="10" t="s">
        <v>331</v>
      </c>
      <c r="H71" s="9" t="s">
        <v>332</v>
      </c>
      <c r="I71" s="10" t="s">
        <v>333</v>
      </c>
      <c r="J71" s="9">
        <v>1</v>
      </c>
      <c r="K71" s="9"/>
    </row>
    <row r="72" spans="1:11">
      <c r="A72" s="2"/>
      <c r="B72" s="7">
        <f t="shared" si="2"/>
        <v>70</v>
      </c>
      <c r="C72" s="11" t="s">
        <v>334</v>
      </c>
      <c r="D72" s="12" t="s">
        <v>335</v>
      </c>
      <c r="E72" s="13" t="s">
        <v>336</v>
      </c>
      <c r="F72" s="12" t="s">
        <v>337</v>
      </c>
      <c r="G72" s="13" t="s">
        <v>338</v>
      </c>
      <c r="H72" s="12" t="s">
        <v>339</v>
      </c>
      <c r="I72" s="13" t="s">
        <v>340</v>
      </c>
      <c r="J72" s="12">
        <v>1</v>
      </c>
      <c r="K72" s="12"/>
    </row>
    <row r="73" spans="1:11" ht="15.75" thickBot="1">
      <c r="A73" s="2"/>
      <c r="B73" s="7">
        <f t="shared" si="2"/>
        <v>71</v>
      </c>
      <c r="C73" s="8" t="s">
        <v>328</v>
      </c>
      <c r="D73" s="9" t="s">
        <v>341</v>
      </c>
      <c r="E73" s="10" t="s">
        <v>342</v>
      </c>
      <c r="F73" s="9" t="s">
        <v>337</v>
      </c>
      <c r="G73" s="10" t="s">
        <v>343</v>
      </c>
      <c r="H73" s="9" t="s">
        <v>339</v>
      </c>
      <c r="I73" s="10" t="s">
        <v>340</v>
      </c>
      <c r="J73" s="9">
        <v>1</v>
      </c>
      <c r="K73" s="9"/>
    </row>
    <row r="74" spans="1:11" ht="48.75" thickBot="1">
      <c r="B74" s="7">
        <f t="shared" si="2"/>
        <v>72</v>
      </c>
      <c r="C74" s="8" t="s">
        <v>344</v>
      </c>
      <c r="D74" s="9" t="s">
        <v>345</v>
      </c>
      <c r="E74" s="10" t="s">
        <v>347</v>
      </c>
      <c r="F74" s="9" t="s">
        <v>13</v>
      </c>
      <c r="G74" s="10" t="s">
        <v>16</v>
      </c>
      <c r="H74" s="9" t="s">
        <v>16</v>
      </c>
      <c r="I74" s="10" t="s">
        <v>16</v>
      </c>
      <c r="J74" s="9">
        <v>1</v>
      </c>
      <c r="K74" s="14" t="s">
        <v>346</v>
      </c>
    </row>
  </sheetData>
  <mergeCells count="1">
    <mergeCell ref="I1:K1"/>
  </mergeCells>
  <hyperlinks>
    <hyperlink ref="K74" r:id="rId1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2025-07-16T09:10:41Z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6A84157916EB4C8489BF2453FFCF8D2F_13</vt:lpwstr>
  </property>
  <property fmtid="{D5CDD505-2E9C-101B-9397-08002B2CF9AE}" pid="3" name="KSOProductBuildVer">
    <vt:lpwstr>2057-12.2.0.21931</vt:lpwstr>
  </property>
</Properties>
</file>